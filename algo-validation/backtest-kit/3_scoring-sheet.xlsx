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s" sheetId="1" state="visible" r:id="rId3"/>
    <sheet name="Summary" sheetId="2" state="visible" r:id="rId4"/>
    <sheet name="Ro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<sst xmlns="http://schemas.openxmlformats.org/spreadsheetml/2006/main" count="87" uniqueCount="53">
  <si>
    <t xml:space="preserve">BACK-TEST SCORING — one row per participant</t>
  </si>
  <si>
    <t xml:space="preserve">Participant ID</t>
  </si>
  <si>
    <t xml:space="preserve">Code / Initials</t>
  </si>
  <si>
    <t xml:space="preserve">City</t>
  </si>
  <si>
    <t xml:space="preserve">Education stream</t>
  </si>
  <si>
    <t xml:space="preserve">Real current job title</t>
  </si>
  <si>
    <t xml:space="preserve">Mapped role (their TRUE job)</t>
  </si>
  <si>
    <t xml:space="preserve">Engine Top 1</t>
  </si>
  <si>
    <t xml:space="preserve">Engine Top 2</t>
  </si>
  <si>
    <t xml:space="preserve">Engine Top 3</t>
  </si>
  <si>
    <t xml:space="preserve">Confidence margin</t>
  </si>
  <si>
    <t xml:space="preserve">Hit@1</t>
  </si>
  <si>
    <t xml:space="preserve">Hit@3</t>
  </si>
  <si>
    <t xml:space="preserve">Notes</t>
  </si>
  <si>
    <t xml:space="preserve">BACK-TEST RESULTS</t>
  </si>
  <si>
    <t xml:space="preserve">Participants scored (N)</t>
  </si>
  <si>
    <t xml:space="preserve">Top-1 hit rate</t>
  </si>
  <si>
    <t xml:space="preserve">Top-3 hit rate  ◄ headline number</t>
  </si>
  <si>
    <t xml:space="preserve">Median confidence margin</t>
  </si>
  <si>
    <t xml:space="preserve">Interpretation thresholds (Top-3)</t>
  </si>
  <si>
    <t xml:space="preserve">≥ 80%</t>
  </si>
  <si>
    <t xml:space="preserve">Strong — matching works, safe to scale</t>
  </si>
  <si>
    <t xml:space="preserve">65–79%</t>
  </si>
  <si>
    <t xml:space="preserve">Promising — usable, check weak roles below</t>
  </si>
  <si>
    <t xml:space="preserve">50–64%</t>
  </si>
  <si>
    <t xml:space="preserve">Weak — better than random, iterate first</t>
  </si>
  <si>
    <t xml:space="preserve">&lt; 50%</t>
  </si>
  <si>
    <t xml:space="preserve">Not working — rethink questions / role vectors</t>
  </si>
  <si>
    <t xml:space="preserve">~25%</t>
  </si>
  <si>
    <t xml:space="preserve">approx. random chance (12 roles, top-3)</t>
  </si>
  <si>
    <t xml:space="preserve">Per-role breakdown</t>
  </si>
  <si>
    <t xml:space="preserve">Role</t>
  </si>
  <si>
    <t xml:space="preserve">Cluster</t>
  </si>
  <si>
    <t xml:space="preserve"># mapped</t>
  </si>
  <si>
    <t xml:space="preserve">Top-3 hits</t>
  </si>
  <si>
    <t xml:space="preserve">Top-3 rate</t>
  </si>
  <si>
    <t xml:space="preserve">Customer Support Associate</t>
  </si>
  <si>
    <t xml:space="preserve">People-facing</t>
  </si>
  <si>
    <t xml:space="preserve">Sales Support Executive</t>
  </si>
  <si>
    <t xml:space="preserve">Creative</t>
  </si>
  <si>
    <t xml:space="preserve">Academic Counsellor</t>
  </si>
  <si>
    <t xml:space="preserve">HR Coordinator</t>
  </si>
  <si>
    <t xml:space="preserve">Data Entry / MIS Executive</t>
  </si>
  <si>
    <t xml:space="preserve">Desk-ops</t>
  </si>
  <si>
    <t xml:space="preserve">Back-Office Operations Executive</t>
  </si>
  <si>
    <t xml:space="preserve">Operations Analyst</t>
  </si>
  <si>
    <t xml:space="preserve">Analytical</t>
  </si>
  <si>
    <t xml:space="preserve">Accounting &amp; Finance Assistant</t>
  </si>
  <si>
    <t xml:space="preserve">Digital Marketing Executive</t>
  </si>
  <si>
    <t xml:space="preserve">Content Writer</t>
  </si>
  <si>
    <t xml:space="preserve">Telemedicine Coordinator</t>
  </si>
  <si>
    <t xml:space="preserve">Legal &amp; Compliance Operations Associate</t>
  </si>
  <si>
    <t xml:space="preserve">Use these exact names in the Mapped-role and Engine Top columns (dropdowns enforce this).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</si>
</sst>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0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0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203864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26"/>
    <col collapsed="false" customWidth="true" hidden="false" outlineLevel="0" max="9" min="6" style="1" width="30"/>
    <col collapsed="false" customWidth="true" hidden="false" outlineLevel="0" max="10" min="10" style="1" width="13"/>
    <col collapsed="false" customWidth="true" hidden="false" outlineLevel="0" max="12" min="11" style="1" width="8"/>
    <col collapsed="false" customWidth="true" hidden="false" outlineLevel="0" max="13" min="13" style="1" width="2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5" hidden="false" customHeight="true" outlineLevel="0" collapsed="false">
      <c r="A3" s="4" t="n">
        <v>1</v>
      </c>
      <c r="B3" s="5"/>
      <c r="C3" s="5"/>
      <c r="D3" s="5"/>
      <c r="E3" s="6"/>
      <c r="F3" s="7"/>
      <c r="G3" s="6"/>
      <c r="H3" s="6"/>
      <c r="I3" s="6"/>
      <c r="J3" s="5"/>
      <c r="K3" s="5" t="str">
        <f aca="false">IF($F3="","",IF($F3=$G3,1,0))</f>
        <v/>
      </c>
      <c r="L3" s="5" t="str">
        <f aca="false">IF($F3="","",IF(COUNTIF($G3:$I3,$F3)&gt;0,1,0))</f>
        <v/>
      </c>
      <c r="M3" s="6"/>
    </row>
    <row r="4" customFormat="false" ht="15" hidden="false" customHeight="true" outlineLevel="0" collapsed="false">
      <c r="A4" s="4" t="n">
        <v>2</v>
      </c>
      <c r="B4" s="5"/>
      <c r="C4" s="5"/>
      <c r="D4" s="5"/>
      <c r="E4" s="6"/>
      <c r="F4" s="7"/>
      <c r="G4" s="6"/>
      <c r="H4" s="6"/>
      <c r="I4" s="6"/>
      <c r="J4" s="5"/>
      <c r="K4" s="5" t="str">
        <f aca="false">IF($F4="","",IF($F4=$G4,1,0))</f>
        <v/>
      </c>
      <c r="L4" s="5" t="str">
        <f aca="false">IF($F4="","",IF(COUNTIF($G4:$I4,$F4)&gt;0,1,0))</f>
        <v/>
      </c>
      <c r="M4" s="6"/>
    </row>
    <row r="5" customFormat="false" ht="15" hidden="false" customHeight="true" outlineLevel="0" collapsed="false">
      <c r="A5" s="4" t="n">
        <v>3</v>
      </c>
      <c r="B5" s="5"/>
      <c r="C5" s="5"/>
      <c r="D5" s="5"/>
      <c r="E5" s="6"/>
      <c r="F5" s="7"/>
      <c r="G5" s="6"/>
      <c r="H5" s="6"/>
      <c r="I5" s="6"/>
      <c r="J5" s="5"/>
      <c r="K5" s="5" t="str">
        <f aca="false">IF($F5="","",IF($F5=$G5,1,0))</f>
        <v/>
      </c>
      <c r="L5" s="5" t="str">
        <f aca="false">IF($F5="","",IF(COUNTIF($G5:$I5,$F5)&gt;0,1,0))</f>
        <v/>
      </c>
      <c r="M5" s="6"/>
    </row>
    <row r="6" customFormat="false" ht="15" hidden="false" customHeight="true" outlineLevel="0" collapsed="false">
      <c r="A6" s="4" t="n">
        <v>4</v>
      </c>
      <c r="B6" s="5"/>
      <c r="C6" s="5"/>
      <c r="D6" s="5"/>
      <c r="E6" s="6"/>
      <c r="F6" s="7"/>
      <c r="G6" s="6"/>
      <c r="H6" s="6"/>
      <c r="I6" s="6"/>
      <c r="J6" s="5"/>
      <c r="K6" s="5" t="str">
        <f aca="false">IF($F6="","",IF($F6=$G6,1,0))</f>
        <v/>
      </c>
      <c r="L6" s="5" t="str">
        <f aca="false">IF($F6="","",IF(COUNTIF($G6:$I6,$F6)&gt;0,1,0))</f>
        <v/>
      </c>
      <c r="M6" s="6"/>
    </row>
    <row r="7" customFormat="false" ht="15" hidden="false" customHeight="true" outlineLevel="0" collapsed="false">
      <c r="A7" s="4" t="n">
        <v>5</v>
      </c>
      <c r="B7" s="5"/>
      <c r="C7" s="5"/>
      <c r="D7" s="5"/>
      <c r="E7" s="6"/>
      <c r="F7" s="7"/>
      <c r="G7" s="6"/>
      <c r="H7" s="6"/>
      <c r="I7" s="6"/>
      <c r="J7" s="5"/>
      <c r="K7" s="5" t="str">
        <f aca="false">IF($F7="","",IF($F7=$G7,1,0))</f>
        <v/>
      </c>
      <c r="L7" s="5" t="str">
        <f aca="false">IF($F7="","",IF(COUNTIF($G7:$I7,$F7)&gt;0,1,0))</f>
        <v/>
      </c>
      <c r="M7" s="6"/>
    </row>
    <row r="8" customFormat="false" ht="15" hidden="false" customHeight="true" outlineLevel="0" collapsed="false">
      <c r="A8" s="4" t="n">
        <v>6</v>
      </c>
      <c r="B8" s="5"/>
      <c r="C8" s="5"/>
      <c r="D8" s="5"/>
      <c r="E8" s="6"/>
      <c r="F8" s="7"/>
      <c r="G8" s="6"/>
      <c r="H8" s="6"/>
      <c r="I8" s="6"/>
      <c r="J8" s="5"/>
      <c r="K8" s="5" t="str">
        <f aca="false">IF($F8="","",IF($F8=$G8,1,0))</f>
        <v/>
      </c>
      <c r="L8" s="5" t="str">
        <f aca="false">IF($F8="","",IF(COUNTIF($G8:$I8,$F8)&gt;0,1,0))</f>
        <v/>
      </c>
      <c r="M8" s="6"/>
    </row>
    <row r="9" customFormat="false" ht="15" hidden="false" customHeight="true" outlineLevel="0" collapsed="false">
      <c r="A9" s="4" t="n">
        <v>7</v>
      </c>
      <c r="B9" s="5"/>
      <c r="C9" s="5"/>
      <c r="D9" s="5"/>
      <c r="E9" s="6"/>
      <c r="F9" s="7"/>
      <c r="G9" s="6"/>
      <c r="H9" s="6"/>
      <c r="I9" s="6"/>
      <c r="J9" s="5"/>
      <c r="K9" s="5" t="str">
        <f aca="false">IF($F9="","",IF($F9=$G9,1,0))</f>
        <v/>
      </c>
      <c r="L9" s="5" t="str">
        <f aca="false">IF($F9="","",IF(COUNTIF($G9:$I9,$F9)&gt;0,1,0))</f>
        <v/>
      </c>
      <c r="M9" s="6"/>
    </row>
    <row r="10" customFormat="false" ht="15" hidden="false" customHeight="true" outlineLevel="0" collapsed="false">
      <c r="A10" s="4" t="n">
        <v>8</v>
      </c>
      <c r="B10" s="5"/>
      <c r="C10" s="5"/>
      <c r="D10" s="5"/>
      <c r="E10" s="6"/>
      <c r="F10" s="7"/>
      <c r="G10" s="6"/>
      <c r="H10" s="6"/>
      <c r="I10" s="6"/>
      <c r="J10" s="5"/>
      <c r="K10" s="5" t="str">
        <f aca="false">IF($F10="","",IF($F10=$G10,1,0))</f>
        <v/>
      </c>
      <c r="L10" s="5" t="str">
        <f aca="false">IF($F10="","",IF(COUNTIF($G10:$I10,$F10)&gt;0,1,0))</f>
        <v/>
      </c>
      <c r="M10" s="6"/>
    </row>
    <row r="11" customFormat="false" ht="15" hidden="false" customHeight="true" outlineLevel="0" collapsed="false">
      <c r="A11" s="4" t="n">
        <v>9</v>
      </c>
      <c r="B11" s="5"/>
      <c r="C11" s="5"/>
      <c r="D11" s="5"/>
      <c r="E11" s="6"/>
      <c r="F11" s="7"/>
      <c r="G11" s="6"/>
      <c r="H11" s="6"/>
      <c r="I11" s="6"/>
      <c r="J11" s="5"/>
      <c r="K11" s="5" t="str">
        <f aca="false">IF($F11="","",IF($F11=$G11,1,0))</f>
        <v/>
      </c>
      <c r="L11" s="5" t="str">
        <f aca="false">IF($F11="","",IF(COUNTIF($G11:$I11,$F11)&gt;0,1,0))</f>
        <v/>
      </c>
      <c r="M11" s="6"/>
    </row>
    <row r="12" customFormat="false" ht="15" hidden="false" customHeight="true" outlineLevel="0" collapsed="false">
      <c r="A12" s="4" t="n">
        <v>10</v>
      </c>
      <c r="B12" s="5"/>
      <c r="C12" s="5"/>
      <c r="D12" s="5"/>
      <c r="E12" s="6"/>
      <c r="F12" s="7"/>
      <c r="G12" s="6"/>
      <c r="H12" s="6"/>
      <c r="I12" s="6"/>
      <c r="J12" s="5"/>
      <c r="K12" s="5" t="str">
        <f aca="false">IF($F12="","",IF($F12=$G12,1,0))</f>
        <v/>
      </c>
      <c r="L12" s="5" t="str">
        <f aca="false">IF($F12="","",IF(COUNTIF($G12:$I12,$F12)&gt;0,1,0))</f>
        <v/>
      </c>
      <c r="M12" s="6"/>
    </row>
    <row r="13" customFormat="false" ht="15" hidden="false" customHeight="true" outlineLevel="0" collapsed="false">
      <c r="A13" s="4" t="n">
        <v>11</v>
      </c>
      <c r="B13" s="5"/>
      <c r="C13" s="5"/>
      <c r="D13" s="5"/>
      <c r="E13" s="6"/>
      <c r="F13" s="7"/>
      <c r="G13" s="6"/>
      <c r="H13" s="6"/>
      <c r="I13" s="6"/>
      <c r="J13" s="5"/>
      <c r="K13" s="5" t="str">
        <f aca="false">IF($F13="","",IF($F13=$G13,1,0))</f>
        <v/>
      </c>
      <c r="L13" s="5" t="str">
        <f aca="false">IF($F13="","",IF(COUNTIF($G13:$I13,$F13)&gt;0,1,0))</f>
        <v/>
      </c>
      <c r="M13" s="6"/>
    </row>
    <row r="14" customFormat="false" ht="15" hidden="false" customHeight="true" outlineLevel="0" collapsed="false">
      <c r="A14" s="4" t="n">
        <v>12</v>
      </c>
      <c r="B14" s="5"/>
      <c r="C14" s="5"/>
      <c r="D14" s="5"/>
      <c r="E14" s="6"/>
      <c r="F14" s="7"/>
      <c r="G14" s="6"/>
      <c r="H14" s="6"/>
      <c r="I14" s="6"/>
      <c r="J14" s="5"/>
      <c r="K14" s="5" t="str">
        <f aca="false">IF($F14="","",IF($F14=$G14,1,0))</f>
        <v/>
      </c>
      <c r="L14" s="5" t="str">
        <f aca="false">IF($F14="","",IF(COUNTIF($G14:$I14,$F14)&gt;0,1,0))</f>
        <v/>
      </c>
      <c r="M14" s="6"/>
    </row>
    <row r="15" customFormat="false" ht="15" hidden="false" customHeight="true" outlineLevel="0" collapsed="false">
      <c r="A15" s="4" t="n">
        <v>13</v>
      </c>
      <c r="B15" s="5"/>
      <c r="C15" s="5"/>
      <c r="D15" s="5"/>
      <c r="E15" s="6"/>
      <c r="F15" s="7"/>
      <c r="G15" s="6"/>
      <c r="H15" s="6"/>
      <c r="I15" s="6"/>
      <c r="J15" s="5"/>
      <c r="K15" s="5" t="str">
        <f aca="false">IF($F15="","",IF($F15=$G15,1,0))</f>
        <v/>
      </c>
      <c r="L15" s="5" t="str">
        <f aca="false">IF($F15="","",IF(COUNTIF($G15:$I15,$F15)&gt;0,1,0))</f>
        <v/>
      </c>
      <c r="M15" s="6"/>
    </row>
    <row r="16" customFormat="false" ht="15" hidden="false" customHeight="true" outlineLevel="0" collapsed="false">
      <c r="A16" s="4" t="n">
        <v>14</v>
      </c>
      <c r="B16" s="5"/>
      <c r="C16" s="5"/>
      <c r="D16" s="5"/>
      <c r="E16" s="6"/>
      <c r="F16" s="7"/>
      <c r="G16" s="6"/>
      <c r="H16" s="6"/>
      <c r="I16" s="6"/>
      <c r="J16" s="5"/>
      <c r="K16" s="5" t="str">
        <f aca="false">IF($F16="","",IF($F16=$G16,1,0))</f>
        <v/>
      </c>
      <c r="L16" s="5" t="str">
        <f aca="false">IF($F16="","",IF(COUNTIF($G16:$I16,$F16)&gt;0,1,0))</f>
        <v/>
      </c>
      <c r="M16" s="6"/>
    </row>
    <row r="17" customFormat="false" ht="15" hidden="false" customHeight="true" outlineLevel="0" collapsed="false">
      <c r="A17" s="4" t="n">
        <v>15</v>
      </c>
      <c r="B17" s="5"/>
      <c r="C17" s="5"/>
      <c r="D17" s="5"/>
      <c r="E17" s="6"/>
      <c r="F17" s="7"/>
      <c r="G17" s="6"/>
      <c r="H17" s="6"/>
      <c r="I17" s="6"/>
      <c r="J17" s="5"/>
      <c r="K17" s="5" t="str">
        <f aca="false">IF($F17="","",IF($F17=$G17,1,0))</f>
        <v/>
      </c>
      <c r="L17" s="5" t="str">
        <f aca="false">IF($F17="","",IF(COUNTIF($G17:$I17,$F17)&gt;0,1,0))</f>
        <v/>
      </c>
      <c r="M17" s="6"/>
    </row>
    <row r="18" customFormat="false" ht="15" hidden="false" customHeight="true" outlineLevel="0" collapsed="false">
      <c r="A18" s="4" t="n">
        <v>16</v>
      </c>
      <c r="B18" s="5"/>
      <c r="C18" s="5"/>
      <c r="D18" s="5"/>
      <c r="E18" s="6"/>
      <c r="F18" s="7"/>
      <c r="G18" s="6"/>
      <c r="H18" s="6"/>
      <c r="I18" s="6"/>
      <c r="J18" s="5"/>
      <c r="K18" s="5" t="str">
        <f aca="false">IF($F18="","",IF($F18=$G18,1,0))</f>
        <v/>
      </c>
      <c r="L18" s="5" t="str">
        <f aca="false">IF($F18="","",IF(COUNTIF($G18:$I18,$F18)&gt;0,1,0))</f>
        <v/>
      </c>
      <c r="M18" s="6"/>
    </row>
    <row r="19" customFormat="false" ht="15" hidden="false" customHeight="true" outlineLevel="0" collapsed="false">
      <c r="A19" s="4" t="n">
        <v>17</v>
      </c>
      <c r="B19" s="5"/>
      <c r="C19" s="5"/>
      <c r="D19" s="5"/>
      <c r="E19" s="6"/>
      <c r="F19" s="7"/>
      <c r="G19" s="6"/>
      <c r="H19" s="6"/>
      <c r="I19" s="6"/>
      <c r="J19" s="5"/>
      <c r="K19" s="5" t="str">
        <f aca="false">IF($F19="","",IF($F19=$G19,1,0))</f>
        <v/>
      </c>
      <c r="L19" s="5" t="str">
        <f aca="false">IF($F19="","",IF(COUNTIF($G19:$I19,$F19)&gt;0,1,0))</f>
        <v/>
      </c>
      <c r="M19" s="6"/>
    </row>
    <row r="20" customFormat="false" ht="15" hidden="false" customHeight="true" outlineLevel="0" collapsed="false">
      <c r="A20" s="4" t="n">
        <v>18</v>
      </c>
      <c r="B20" s="5"/>
      <c r="C20" s="5"/>
      <c r="D20" s="5"/>
      <c r="E20" s="6"/>
      <c r="F20" s="7"/>
      <c r="G20" s="6"/>
      <c r="H20" s="6"/>
      <c r="I20" s="6"/>
      <c r="J20" s="5"/>
      <c r="K20" s="5" t="str">
        <f aca="false">IF($F20="","",IF($F20=$G20,1,0))</f>
        <v/>
      </c>
      <c r="L20" s="5" t="str">
        <f aca="false">IF($F20="","",IF(COUNTIF($G20:$I20,$F20)&gt;0,1,0))</f>
        <v/>
      </c>
      <c r="M20" s="6"/>
    </row>
    <row r="21" customFormat="false" ht="15" hidden="false" customHeight="true" outlineLevel="0" collapsed="false">
      <c r="A21" s="4" t="n">
        <v>19</v>
      </c>
      <c r="B21" s="5"/>
      <c r="C21" s="5"/>
      <c r="D21" s="5"/>
      <c r="E21" s="6"/>
      <c r="F21" s="7"/>
      <c r="G21" s="6"/>
      <c r="H21" s="6"/>
      <c r="I21" s="6"/>
      <c r="J21" s="5"/>
      <c r="K21" s="5" t="str">
        <f aca="false">IF($F21="","",IF($F21=$G21,1,0))</f>
        <v/>
      </c>
      <c r="L21" s="5" t="str">
        <f aca="false">IF($F21="","",IF(COUNTIF($G21:$I21,$F21)&gt;0,1,0))</f>
        <v/>
      </c>
      <c r="M21" s="6"/>
    </row>
    <row r="22" customFormat="false" ht="15" hidden="false" customHeight="true" outlineLevel="0" collapsed="false">
      <c r="A22" s="4" t="n">
        <v>20</v>
      </c>
      <c r="B22" s="5"/>
      <c r="C22" s="5"/>
      <c r="D22" s="5"/>
      <c r="E22" s="6"/>
      <c r="F22" s="7"/>
      <c r="G22" s="6"/>
      <c r="H22" s="6"/>
      <c r="I22" s="6"/>
      <c r="J22" s="5"/>
      <c r="K22" s="5" t="str">
        <f aca="false">IF($F22="","",IF($F22=$G22,1,0))</f>
        <v/>
      </c>
      <c r="L22" s="5" t="str">
        <f aca="false">IF($F22="","",IF(COUNTIF($G22:$I22,$F22)&gt;0,1,0))</f>
        <v/>
      </c>
      <c r="M22" s="6"/>
    </row>
    <row r="23" customFormat="false" ht="15" hidden="false" customHeight="true" outlineLevel="0" collapsed="false">
      <c r="A23" s="4" t="n">
        <v>21</v>
      </c>
      <c r="B23" s="5"/>
      <c r="C23" s="5"/>
      <c r="D23" s="5"/>
      <c r="E23" s="6"/>
      <c r="F23" s="7"/>
      <c r="G23" s="6"/>
      <c r="H23" s="6"/>
      <c r="I23" s="6"/>
      <c r="J23" s="5"/>
      <c r="K23" s="5" t="str">
        <f aca="false">IF($F23="","",IF($F23=$G23,1,0))</f>
        <v/>
      </c>
      <c r="L23" s="5" t="str">
        <f aca="false">IF($F23="","",IF(COUNTIF($G23:$I23,$F23)&gt;0,1,0))</f>
        <v/>
      </c>
      <c r="M23" s="6"/>
    </row>
    <row r="24" customFormat="false" ht="15" hidden="false" customHeight="true" outlineLevel="0" collapsed="false">
      <c r="A24" s="4" t="n">
        <v>22</v>
      </c>
      <c r="B24" s="5"/>
      <c r="C24" s="5"/>
      <c r="D24" s="5"/>
      <c r="E24" s="6"/>
      <c r="F24" s="7"/>
      <c r="G24" s="6"/>
      <c r="H24" s="6"/>
      <c r="I24" s="6"/>
      <c r="J24" s="5"/>
      <c r="K24" s="5" t="str">
        <f aca="false">IF($F24="","",IF($F24=$G24,1,0))</f>
        <v/>
      </c>
      <c r="L24" s="5" t="str">
        <f aca="false">IF($F24="","",IF(COUNTIF($G24:$I24,$F24)&gt;0,1,0))</f>
        <v/>
      </c>
      <c r="M24" s="6"/>
    </row>
    <row r="25" customFormat="false" ht="15" hidden="false" customHeight="true" outlineLevel="0" collapsed="false">
      <c r="A25" s="4" t="n">
        <v>23</v>
      </c>
      <c r="B25" s="5"/>
      <c r="C25" s="5"/>
      <c r="D25" s="5"/>
      <c r="E25" s="6"/>
      <c r="F25" s="7"/>
      <c r="G25" s="6"/>
      <c r="H25" s="6"/>
      <c r="I25" s="6"/>
      <c r="J25" s="5"/>
      <c r="K25" s="5" t="str">
        <f aca="false">IF($F25="","",IF($F25=$G25,1,0))</f>
        <v/>
      </c>
      <c r="L25" s="5" t="str">
        <f aca="false">IF($F25="","",IF(COUNTIF($G25:$I25,$F25)&gt;0,1,0))</f>
        <v/>
      </c>
      <c r="M25" s="6"/>
    </row>
    <row r="26" customFormat="false" ht="15" hidden="false" customHeight="true" outlineLevel="0" collapsed="false">
      <c r="A26" s="4" t="n">
        <v>24</v>
      </c>
      <c r="B26" s="5"/>
      <c r="C26" s="5"/>
      <c r="D26" s="5"/>
      <c r="E26" s="6"/>
      <c r="F26" s="7"/>
      <c r="G26" s="6"/>
      <c r="H26" s="6"/>
      <c r="I26" s="6"/>
      <c r="J26" s="5"/>
      <c r="K26" s="5" t="str">
        <f aca="false">IF($F26="","",IF($F26=$G26,1,0))</f>
        <v/>
      </c>
      <c r="L26" s="5" t="str">
        <f aca="false">IF($F26="","",IF(COUNTIF($G26:$I26,$F26)&gt;0,1,0))</f>
        <v/>
      </c>
      <c r="M26" s="6"/>
    </row>
    <row r="27" customFormat="false" ht="15" hidden="false" customHeight="true" outlineLevel="0" collapsed="false">
      <c r="A27" s="4" t="n">
        <v>25</v>
      </c>
      <c r="B27" s="5"/>
      <c r="C27" s="5"/>
      <c r="D27" s="5"/>
      <c r="E27" s="6"/>
      <c r="F27" s="7"/>
      <c r="G27" s="6"/>
      <c r="H27" s="6"/>
      <c r="I27" s="6"/>
      <c r="J27" s="5"/>
      <c r="K27" s="5" t="str">
        <f aca="false">IF($F27="","",IF($F27=$G27,1,0))</f>
        <v/>
      </c>
      <c r="L27" s="5" t="str">
        <f aca="false">IF($F27="","",IF(COUNTIF($G27:$I27,$F27)&gt;0,1,0))</f>
        <v/>
      </c>
      <c r="M27" s="6"/>
    </row>
    <row r="28" customFormat="false" ht="15" hidden="false" customHeight="true" outlineLevel="0" collapsed="false">
      <c r="A28" s="4" t="n">
        <v>26</v>
      </c>
      <c r="B28" s="5"/>
      <c r="C28" s="5"/>
      <c r="D28" s="5"/>
      <c r="E28" s="6"/>
      <c r="F28" s="7"/>
      <c r="G28" s="6"/>
      <c r="H28" s="6"/>
      <c r="I28" s="6"/>
      <c r="J28" s="5"/>
      <c r="K28" s="5" t="str">
        <f aca="false">IF($F28="","",IF($F28=$G28,1,0))</f>
        <v/>
      </c>
      <c r="L28" s="5" t="str">
        <f aca="false">IF($F28="","",IF(COUNTIF($G28:$I28,$F28)&gt;0,1,0))</f>
        <v/>
      </c>
      <c r="M28" s="6"/>
    </row>
    <row r="29" customFormat="false" ht="15" hidden="false" customHeight="true" outlineLevel="0" collapsed="false">
      <c r="A29" s="4" t="n">
        <v>27</v>
      </c>
      <c r="B29" s="5"/>
      <c r="C29" s="5"/>
      <c r="D29" s="5"/>
      <c r="E29" s="6"/>
      <c r="F29" s="7"/>
      <c r="G29" s="6"/>
      <c r="H29" s="6"/>
      <c r="I29" s="6"/>
      <c r="J29" s="5"/>
      <c r="K29" s="5" t="str">
        <f aca="false">IF($F29="","",IF($F29=$G29,1,0))</f>
        <v/>
      </c>
      <c r="L29" s="5" t="str">
        <f aca="false">IF($F29="","",IF(COUNTIF($G29:$I29,$F29)&gt;0,1,0))</f>
        <v/>
      </c>
      <c r="M29" s="6"/>
    </row>
    <row r="30" customFormat="false" ht="15" hidden="false" customHeight="true" outlineLevel="0" collapsed="false">
      <c r="A30" s="4" t="n">
        <v>28</v>
      </c>
      <c r="B30" s="5"/>
      <c r="C30" s="5"/>
      <c r="D30" s="5"/>
      <c r="E30" s="6"/>
      <c r="F30" s="7"/>
      <c r="G30" s="6"/>
      <c r="H30" s="6"/>
      <c r="I30" s="6"/>
      <c r="J30" s="5"/>
      <c r="K30" s="5" t="str">
        <f aca="false">IF($F30="","",IF($F30=$G30,1,0))</f>
        <v/>
      </c>
      <c r="L30" s="5" t="str">
        <f aca="false">IF($F30="","",IF(COUNTIF($G30:$I30,$F30)&gt;0,1,0))</f>
        <v/>
      </c>
      <c r="M30" s="6"/>
    </row>
    <row r="31" customFormat="false" ht="15" hidden="false" customHeight="true" outlineLevel="0" collapsed="false">
      <c r="A31" s="4" t="n">
        <v>29</v>
      </c>
      <c r="B31" s="5"/>
      <c r="C31" s="5"/>
      <c r="D31" s="5"/>
      <c r="E31" s="6"/>
      <c r="F31" s="7"/>
      <c r="G31" s="6"/>
      <c r="H31" s="6"/>
      <c r="I31" s="6"/>
      <c r="J31" s="5"/>
      <c r="K31" s="5" t="str">
        <f aca="false">IF($F31="","",IF($F31=$G31,1,0))</f>
        <v/>
      </c>
      <c r="L31" s="5" t="str">
        <f aca="false">IF($F31="","",IF(COUNTIF($G31:$I31,$F31)&gt;0,1,0))</f>
        <v/>
      </c>
      <c r="M31" s="6"/>
    </row>
    <row r="32" customFormat="false" ht="15" hidden="false" customHeight="true" outlineLevel="0" collapsed="false">
      <c r="A32" s="4" t="n">
        <v>30</v>
      </c>
      <c r="B32" s="5"/>
      <c r="C32" s="5"/>
      <c r="D32" s="5"/>
      <c r="E32" s="6"/>
      <c r="F32" s="7"/>
      <c r="G32" s="6"/>
      <c r="H32" s="6"/>
      <c r="I32" s="6"/>
      <c r="J32" s="5"/>
      <c r="K32" s="5" t="str">
        <f aca="false">IF($F32="","",IF($F32=$G32,1,0))</f>
        <v/>
      </c>
      <c r="L32" s="5" t="str">
        <f aca="false">IF($F32="","",IF(COUNTIF($G32:$I32,$F32)&gt;0,1,0))</f>
        <v/>
      </c>
      <c r="M32" s="6"/>
    </row>
    <row r="33" customFormat="false" ht="15" hidden="false" customHeight="true" outlineLevel="0" collapsed="false">
      <c r="A33" s="4" t="n">
        <v>31</v>
      </c>
      <c r="B33" s="5"/>
      <c r="C33" s="5"/>
      <c r="D33" s="5"/>
      <c r="E33" s="6"/>
      <c r="F33" s="7"/>
      <c r="G33" s="6"/>
      <c r="H33" s="6"/>
      <c r="I33" s="6"/>
      <c r="J33" s="5"/>
      <c r="K33" s="5" t="str">
        <f aca="false">IF($F33="","",IF($F33=$G33,1,0))</f>
        <v/>
      </c>
      <c r="L33" s="5" t="str">
        <f aca="false">IF($F33="","",IF(COUNTIF($G33:$I33,$F33)&gt;0,1,0))</f>
        <v/>
      </c>
      <c r="M33" s="6"/>
    </row>
    <row r="34" customFormat="false" ht="15" hidden="false" customHeight="true" outlineLevel="0" collapsed="false">
      <c r="A34" s="4" t="n">
        <v>32</v>
      </c>
      <c r="B34" s="5"/>
      <c r="C34" s="5"/>
      <c r="D34" s="5"/>
      <c r="E34" s="6"/>
      <c r="F34" s="7"/>
      <c r="G34" s="6"/>
      <c r="H34" s="6"/>
      <c r="I34" s="6"/>
      <c r="J34" s="5"/>
      <c r="K34" s="5" t="str">
        <f aca="false">IF($F34="","",IF($F34=$G34,1,0))</f>
        <v/>
      </c>
      <c r="L34" s="5" t="str">
        <f aca="false">IF($F34="","",IF(COUNTIF($G34:$I34,$F34)&gt;0,1,0))</f>
        <v/>
      </c>
      <c r="M34" s="6"/>
    </row>
    <row r="35" customFormat="false" ht="15" hidden="false" customHeight="true" outlineLevel="0" collapsed="false">
      <c r="A35" s="4" t="n">
        <v>33</v>
      </c>
      <c r="B35" s="5"/>
      <c r="C35" s="5"/>
      <c r="D35" s="5"/>
      <c r="E35" s="6"/>
      <c r="F35" s="7"/>
      <c r="G35" s="6"/>
      <c r="H35" s="6"/>
      <c r="I35" s="6"/>
      <c r="J35" s="5"/>
      <c r="K35" s="5" t="str">
        <f aca="false">IF($F35="","",IF($F35=$G35,1,0))</f>
        <v/>
      </c>
      <c r="L35" s="5" t="str">
        <f aca="false">IF($F35="","",IF(COUNTIF($G35:$I35,$F35)&gt;0,1,0))</f>
        <v/>
      </c>
      <c r="M35" s="6"/>
    </row>
    <row r="36" customFormat="false" ht="15" hidden="false" customHeight="true" outlineLevel="0" collapsed="false">
      <c r="A36" s="4" t="n">
        <v>34</v>
      </c>
      <c r="B36" s="5"/>
      <c r="C36" s="5"/>
      <c r="D36" s="5"/>
      <c r="E36" s="6"/>
      <c r="F36" s="7"/>
      <c r="G36" s="6"/>
      <c r="H36" s="6"/>
      <c r="I36" s="6"/>
      <c r="J36" s="5"/>
      <c r="K36" s="5" t="str">
        <f aca="false">IF($F36="","",IF($F36=$G36,1,0))</f>
        <v/>
      </c>
      <c r="L36" s="5" t="str">
        <f aca="false">IF($F36="","",IF(COUNTIF($G36:$I36,$F36)&gt;0,1,0))</f>
        <v/>
      </c>
      <c r="M36" s="6"/>
    </row>
    <row r="37" customFormat="false" ht="15" hidden="false" customHeight="true" outlineLevel="0" collapsed="false">
      <c r="A37" s="4" t="n">
        <v>35</v>
      </c>
      <c r="B37" s="5"/>
      <c r="C37" s="5"/>
      <c r="D37" s="5"/>
      <c r="E37" s="6"/>
      <c r="F37" s="7"/>
      <c r="G37" s="6"/>
      <c r="H37" s="6"/>
      <c r="I37" s="6"/>
      <c r="J37" s="5"/>
      <c r="K37" s="5" t="str">
        <f aca="false">IF($F37="","",IF($F37=$G37,1,0))</f>
        <v/>
      </c>
      <c r="L37" s="5" t="str">
        <f aca="false">IF($F37="","",IF(COUNTIF($G37:$I37,$F37)&gt;0,1,0))</f>
        <v/>
      </c>
      <c r="M37" s="6"/>
    </row>
    <row r="38" customFormat="false" ht="15" hidden="false" customHeight="true" outlineLevel="0" collapsed="false">
      <c r="A38" s="4" t="n">
        <v>36</v>
      </c>
      <c r="B38" s="5"/>
      <c r="C38" s="5"/>
      <c r="D38" s="5"/>
      <c r="E38" s="6"/>
      <c r="F38" s="7"/>
      <c r="G38" s="6"/>
      <c r="H38" s="6"/>
      <c r="I38" s="6"/>
      <c r="J38" s="5"/>
      <c r="K38" s="5" t="str">
        <f aca="false">IF($F38="","",IF($F38=$G38,1,0))</f>
        <v/>
      </c>
      <c r="L38" s="5" t="str">
        <f aca="false">IF($F38="","",IF(COUNTIF($G38:$I38,$F38)&gt;0,1,0))</f>
        <v/>
      </c>
      <c r="M38" s="6"/>
    </row>
    <row r="39" customFormat="false" ht="15" hidden="false" customHeight="true" outlineLevel="0" collapsed="false">
      <c r="A39" s="4" t="n">
        <v>37</v>
      </c>
      <c r="B39" s="5"/>
      <c r="C39" s="5"/>
      <c r="D39" s="5"/>
      <c r="E39" s="6"/>
      <c r="F39" s="7"/>
      <c r="G39" s="6"/>
      <c r="H39" s="6"/>
      <c r="I39" s="6"/>
      <c r="J39" s="5"/>
      <c r="K39" s="5" t="str">
        <f aca="false">IF($F39="","",IF($F39=$G39,1,0))</f>
        <v/>
      </c>
      <c r="L39" s="5" t="str">
        <f aca="false">IF($F39="","",IF(COUNTIF($G39:$I39,$F39)&gt;0,1,0))</f>
        <v/>
      </c>
      <c r="M39" s="6"/>
    </row>
    <row r="40" customFormat="false" ht="15" hidden="false" customHeight="true" outlineLevel="0" collapsed="false">
      <c r="A40" s="4" t="n">
        <v>38</v>
      </c>
      <c r="B40" s="5"/>
      <c r="C40" s="5"/>
      <c r="D40" s="5"/>
      <c r="E40" s="6"/>
      <c r="F40" s="7"/>
      <c r="G40" s="6"/>
      <c r="H40" s="6"/>
      <c r="I40" s="6"/>
      <c r="J40" s="5"/>
      <c r="K40" s="5" t="str">
        <f aca="false">IF($F40="","",IF($F40=$G40,1,0))</f>
        <v/>
      </c>
      <c r="L40" s="5" t="str">
        <f aca="false">IF($F40="","",IF(COUNTIF($G40:$I40,$F40)&gt;0,1,0))</f>
        <v/>
      </c>
      <c r="M40" s="6"/>
    </row>
    <row r="41" customFormat="false" ht="15" hidden="false" customHeight="true" outlineLevel="0" collapsed="false">
      <c r="A41" s="4" t="n">
        <v>39</v>
      </c>
      <c r="B41" s="5"/>
      <c r="C41" s="5"/>
      <c r="D41" s="5"/>
      <c r="E41" s="6"/>
      <c r="F41" s="7"/>
      <c r="G41" s="6"/>
      <c r="H41" s="6"/>
      <c r="I41" s="6"/>
      <c r="J41" s="5"/>
      <c r="K41" s="5" t="str">
        <f aca="false">IF($F41="","",IF($F41=$G41,1,0))</f>
        <v/>
      </c>
      <c r="L41" s="5" t="str">
        <f aca="false">IF($F41="","",IF(COUNTIF($G41:$I41,$F41)&gt;0,1,0))</f>
        <v/>
      </c>
      <c r="M41" s="6"/>
    </row>
    <row r="42" customFormat="false" ht="15" hidden="false" customHeight="true" outlineLevel="0" collapsed="false">
      <c r="A42" s="4" t="n">
        <v>40</v>
      </c>
      <c r="B42" s="5"/>
      <c r="C42" s="5"/>
      <c r="D42" s="5"/>
      <c r="E42" s="6"/>
      <c r="F42" s="7"/>
      <c r="G42" s="6"/>
      <c r="H42" s="6"/>
      <c r="I42" s="6"/>
      <c r="J42" s="5"/>
      <c r="K42" s="5" t="str">
        <f aca="false">IF($F42="","",IF($F42=$G42,1,0))</f>
        <v/>
      </c>
      <c r="L42" s="5" t="str">
        <f aca="false">IF($F42="","",IF(COUNTIF($G42:$I42,$F42)&gt;0,1,0))</f>
        <v/>
      </c>
      <c r="M42" s="6"/>
    </row>
  </sheetData>
  <mergeCells count="1">
    <mergeCell ref="A1:M1"/>
  </mergeCells>
  <dataValidations count="1">
    <dataValidation allowBlank="true" errorStyle="stop" operator="between" showDropDown="false" showErrorMessage="false" showInputMessage="false" sqref="F3:I42" type="list">
      <formula1>Roles!$A$2:$A$13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4"/>
  </cols>
  <sheetData>
    <row r="1" customFormat="false" ht="17.25" hidden="false" customHeight="true" outlineLevel="0" collapsed="false">
      <c r="A1" s="8" t="s">
        <v>14</v>
      </c>
    </row>
    <row r="3" customFormat="false" ht="15" hidden="false" customHeight="true" outlineLevel="0" collapsed="false">
      <c r="A3" s="9" t="s">
        <v>15</v>
      </c>
      <c r="B3" s="10" t="n">
        <f aca="false">COUNT(Participants!K3:K42)</f>
        <v>0</v>
      </c>
    </row>
    <row r="4" customFormat="false" ht="15" hidden="false" customHeight="true" outlineLevel="0" collapsed="false">
      <c r="A4" s="9" t="s">
        <v>16</v>
      </c>
      <c r="B4" s="11" t="str">
        <f aca="false">IF(B3=0,"-",SUM(Participants!K3:K42)/B3)</f>
        <v>-</v>
      </c>
    </row>
    <row r="5" customFormat="false" ht="15" hidden="false" customHeight="true" outlineLevel="0" collapsed="false">
      <c r="A5" s="12" t="s">
        <v>17</v>
      </c>
      <c r="B5" s="13" t="str">
        <f aca="false">IF(B3=0,"-",SUM(Participants!L3:L42)/B3)</f>
        <v>-</v>
      </c>
    </row>
    <row r="6" customFormat="false" ht="15" hidden="false" customHeight="true" outlineLevel="0" collapsed="false">
      <c r="A6" s="9" t="s">
        <v>18</v>
      </c>
      <c r="B6" s="10" t="str">
        <f aca="false">IF(B3=0,"-",MEDIAN(Participants!J3:J42))</f>
        <v>-</v>
      </c>
    </row>
    <row r="8" customFormat="false" ht="15" hidden="false" customHeight="true" outlineLevel="0" collapsed="false">
      <c r="A8" s="14" t="s">
        <v>19</v>
      </c>
    </row>
    <row r="9" customFormat="false" ht="15" hidden="false" customHeight="true" outlineLevel="0" collapsed="false">
      <c r="A9" s="9" t="s">
        <v>20</v>
      </c>
      <c r="B9" s="15" t="s">
        <v>21</v>
      </c>
      <c r="C9" s="15"/>
      <c r="D9" s="15"/>
      <c r="E9" s="15"/>
    </row>
    <row r="10" customFormat="false" ht="15" hidden="false" customHeight="true" outlineLevel="0" collapsed="false">
      <c r="A10" s="9" t="s">
        <v>22</v>
      </c>
      <c r="B10" s="15" t="s">
        <v>23</v>
      </c>
      <c r="C10" s="15"/>
      <c r="D10" s="15"/>
      <c r="E10" s="15"/>
    </row>
    <row r="11" customFormat="false" ht="15" hidden="false" customHeight="true" outlineLevel="0" collapsed="false">
      <c r="A11" s="9" t="s">
        <v>24</v>
      </c>
      <c r="B11" s="15" t="s">
        <v>25</v>
      </c>
      <c r="C11" s="15"/>
      <c r="D11" s="15"/>
      <c r="E11" s="15"/>
    </row>
    <row r="12" customFormat="false" ht="15" hidden="false" customHeight="true" outlineLevel="0" collapsed="false">
      <c r="A12" s="9" t="s">
        <v>26</v>
      </c>
      <c r="B12" s="15" t="s">
        <v>27</v>
      </c>
      <c r="C12" s="15"/>
      <c r="D12" s="15"/>
      <c r="E12" s="15"/>
    </row>
    <row r="13" customFormat="false" ht="15" hidden="false" customHeight="true" outlineLevel="0" collapsed="false">
      <c r="A13" s="9" t="s">
        <v>28</v>
      </c>
      <c r="B13" s="15" t="s">
        <v>29</v>
      </c>
      <c r="C13" s="15"/>
      <c r="D13" s="15"/>
      <c r="E13" s="15"/>
    </row>
    <row r="15" customFormat="false" ht="15" hidden="false" customHeight="true" outlineLevel="0" collapsed="false">
      <c r="A15" s="14" t="s">
        <v>30</v>
      </c>
    </row>
    <row r="16" customFormat="false" ht="15" hidden="false" customHeight="true" outlineLevel="0" collapsed="false">
      <c r="A16" s="3" t="s">
        <v>31</v>
      </c>
      <c r="B16" s="3" t="s">
        <v>32</v>
      </c>
      <c r="C16" s="3" t="s">
        <v>33</v>
      </c>
      <c r="D16" s="3" t="s">
        <v>34</v>
      </c>
      <c r="E16" s="3" t="s">
        <v>35</v>
      </c>
    </row>
    <row r="17" customFormat="false" ht="15" hidden="false" customHeight="true" outlineLevel="0" collapsed="false">
      <c r="A17" s="16" t="s">
        <v>36</v>
      </c>
      <c r="B17" s="16" t="s">
        <v>37</v>
      </c>
      <c r="C17" s="5" t="n">
        <f aca="false">COUNTIF(Participants!F3:F42,A17)</f>
        <v>0</v>
      </c>
      <c r="D17" s="5" t="n">
        <f aca="false">SUMIFS(Participants!L3:L42,Participants!F3:F42,A17)</f>
        <v>0</v>
      </c>
      <c r="E17" s="17" t="str">
        <f aca="false">IF(C17=0,"-",D17/C17)</f>
        <v>-</v>
      </c>
    </row>
    <row r="18" customFormat="false" ht="15" hidden="false" customHeight="true" outlineLevel="0" collapsed="false">
      <c r="A18" s="16" t="s">
        <v>38</v>
      </c>
      <c r="B18" s="16" t="s">
        <v>39</v>
      </c>
      <c r="C18" s="5" t="n">
        <f aca="false">COUNTIF(Participants!F3:F42,A18)</f>
        <v>0</v>
      </c>
      <c r="D18" s="5" t="n">
        <f aca="false">SUMIFS(Participants!L3:L42,Participants!F3:F42,A18)</f>
        <v>0</v>
      </c>
      <c r="E18" s="17" t="str">
        <f aca="false">IF(C18=0,"-",D18/C18)</f>
        <v>-</v>
      </c>
    </row>
    <row r="19" customFormat="false" ht="15" hidden="false" customHeight="true" outlineLevel="0" collapsed="false">
      <c r="A19" s="16" t="s">
        <v>40</v>
      </c>
      <c r="B19" s="16" t="s">
        <v>37</v>
      </c>
      <c r="C19" s="5" t="n">
        <f aca="false">COUNTIF(Participants!F3:F42,A19)</f>
        <v>0</v>
      </c>
      <c r="D19" s="5" t="n">
        <f aca="false">SUMIFS(Participants!L3:L42,Participants!F3:F42,A19)</f>
        <v>0</v>
      </c>
      <c r="E19" s="17" t="str">
        <f aca="false">IF(C19=0,"-",D19/C19)</f>
        <v>-</v>
      </c>
    </row>
    <row r="20" customFormat="false" ht="15" hidden="false" customHeight="true" outlineLevel="0" collapsed="false">
      <c r="A20" s="16" t="s">
        <v>41</v>
      </c>
      <c r="B20" s="16" t="s">
        <v>37</v>
      </c>
      <c r="C20" s="5" t="n">
        <f aca="false">COUNTIF(Participants!F3:F42,A20)</f>
        <v>0</v>
      </c>
      <c r="D20" s="5" t="n">
        <f aca="false">SUMIFS(Participants!L3:L42,Participants!F3:F42,A20)</f>
        <v>0</v>
      </c>
      <c r="E20" s="17" t="str">
        <f aca="false">IF(C20=0,"-",D20/C20)</f>
        <v>-</v>
      </c>
    </row>
    <row r="21" customFormat="false" ht="15" hidden="false" customHeight="true" outlineLevel="0" collapsed="false">
      <c r="A21" s="16" t="s">
        <v>42</v>
      </c>
      <c r="B21" s="16" t="s">
        <v>43</v>
      </c>
      <c r="C21" s="5" t="n">
        <f aca="false">COUNTIF(Participants!F3:F42,A21)</f>
        <v>0</v>
      </c>
      <c r="D21" s="5" t="n">
        <f aca="false">SUMIFS(Participants!L3:L42,Participants!F3:F42,A21)</f>
        <v>0</v>
      </c>
      <c r="E21" s="17" t="str">
        <f aca="false">IF(C21=0,"-",D21/C21)</f>
        <v>-</v>
      </c>
    </row>
    <row r="22" customFormat="false" ht="15" hidden="false" customHeight="true" outlineLevel="0" collapsed="false">
      <c r="A22" s="16" t="s">
        <v>44</v>
      </c>
      <c r="B22" s="16" t="s">
        <v>43</v>
      </c>
      <c r="C22" s="5" t="n">
        <f aca="false">COUNTIF(Participants!F3:F42,A22)</f>
        <v>0</v>
      </c>
      <c r="D22" s="5" t="n">
        <f aca="false">SUMIFS(Participants!L3:L42,Participants!F3:F42,A22)</f>
        <v>0</v>
      </c>
      <c r="E22" s="17" t="str">
        <f aca="false">IF(C22=0,"-",D22/C22)</f>
        <v>-</v>
      </c>
    </row>
    <row r="23" customFormat="false" ht="15" hidden="false" customHeight="true" outlineLevel="0" collapsed="false">
      <c r="A23" s="16" t="s">
        <v>45</v>
      </c>
      <c r="B23" s="16" t="s">
        <v>46</v>
      </c>
      <c r="C23" s="5" t="n">
        <f aca="false">COUNTIF(Participants!F3:F42,A23)</f>
        <v>0</v>
      </c>
      <c r="D23" s="5" t="n">
        <f aca="false">SUMIFS(Participants!L3:L42,Participants!F3:F42,A23)</f>
        <v>0</v>
      </c>
      <c r="E23" s="17" t="str">
        <f aca="false">IF(C23=0,"-",D23/C23)</f>
        <v>-</v>
      </c>
    </row>
    <row r="24" customFormat="false" ht="15" hidden="false" customHeight="true" outlineLevel="0" collapsed="false">
      <c r="A24" s="16" t="s">
        <v>47</v>
      </c>
      <c r="B24" s="16" t="s">
        <v>46</v>
      </c>
      <c r="C24" s="5" t="n">
        <f aca="false">COUNTIF(Participants!F3:F42,A24)</f>
        <v>0</v>
      </c>
      <c r="D24" s="5" t="n">
        <f aca="false">SUMIFS(Participants!L3:L42,Participants!F3:F42,A24)</f>
        <v>0</v>
      </c>
      <c r="E24" s="17" t="str">
        <f aca="false">IF(C24=0,"-",D24/C24)</f>
        <v>-</v>
      </c>
    </row>
    <row r="25" customFormat="false" ht="15" hidden="false" customHeight="true" outlineLevel="0" collapsed="false">
      <c r="A25" s="16" t="s">
        <v>48</v>
      </c>
      <c r="B25" s="16" t="s">
        <v>39</v>
      </c>
      <c r="C25" s="5" t="n">
        <f aca="false">COUNTIF(Participants!F3:F42,A25)</f>
        <v>0</v>
      </c>
      <c r="D25" s="5" t="n">
        <f aca="false">SUMIFS(Participants!L3:L42,Participants!F3:F42,A25)</f>
        <v>0</v>
      </c>
      <c r="E25" s="17" t="str">
        <f aca="false">IF(C25=0,"-",D25/C25)</f>
        <v>-</v>
      </c>
    </row>
    <row r="26" customFormat="false" ht="15" hidden="false" customHeight="true" outlineLevel="0" collapsed="false">
      <c r="A26" s="16" t="s">
        <v>49</v>
      </c>
      <c r="B26" s="16" t="s">
        <v>39</v>
      </c>
      <c r="C26" s="5" t="n">
        <f aca="false">COUNTIF(Participants!F3:F42,A26)</f>
        <v>0</v>
      </c>
      <c r="D26" s="5" t="n">
        <f aca="false">SUMIFS(Participants!L3:L42,Participants!F3:F42,A26)</f>
        <v>0</v>
      </c>
      <c r="E26" s="17" t="str">
        <f aca="false">IF(C26=0,"-",D26/C26)</f>
        <v>-</v>
      </c>
    </row>
    <row r="27" customFormat="false" ht="15" hidden="false" customHeight="true" outlineLevel="0" collapsed="false">
      <c r="A27" s="16" t="s">
        <v>50</v>
      </c>
      <c r="B27" s="16" t="s">
        <v>37</v>
      </c>
      <c r="C27" s="5" t="n">
        <f aca="false">COUNTIF(Participants!F3:F42,A27)</f>
        <v>0</v>
      </c>
      <c r="D27" s="5" t="n">
        <f aca="false">SUMIFS(Participants!L3:L42,Participants!F3:F42,A27)</f>
        <v>0</v>
      </c>
      <c r="E27" s="17" t="str">
        <f aca="false">IF(C27=0,"-",D27/C27)</f>
        <v>-</v>
      </c>
    </row>
    <row r="28" customFormat="false" ht="15" hidden="false" customHeight="true" outlineLevel="0" collapsed="false">
      <c r="A28" s="16" t="s">
        <v>51</v>
      </c>
      <c r="B28" s="16" t="s">
        <v>43</v>
      </c>
      <c r="C28" s="5" t="n">
        <f aca="false">COUNTIF(Participants!F3:F42,A28)</f>
        <v>0</v>
      </c>
      <c r="D28" s="5" t="n">
        <f aca="false">SUMIFS(Participants!L3:L42,Participants!F3:F42,A28)</f>
        <v>0</v>
      </c>
      <c r="E28" s="17" t="str">
        <f aca="false">IF(C28=0,"-",D28/C28)</f>
        <v>-</v>
      </c>
    </row>
  </sheetData>
  <mergeCells count="5">
    <mergeCell ref="B9:E9"/>
    <mergeCell ref="B10:E10"/>
    <mergeCell ref="B11:E11"/>
    <mergeCell ref="B12:E12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</cols>
  <sheetData>
    <row r="1" customFormat="false" ht="15" hidden="false" customHeight="true" outlineLevel="0" collapsed="false">
      <c r="A1" s="18" t="s">
        <v>31</v>
      </c>
      <c r="B1" s="18" t="s">
        <v>32</v>
      </c>
    </row>
    <row r="2" customFormat="false" ht="15" hidden="false" customHeight="true" outlineLevel="0" collapsed="false">
      <c r="A2" s="4" t="s">
        <v>36</v>
      </c>
      <c r="B2" s="4" t="s">
        <v>37</v>
      </c>
    </row>
    <row r="3" customFormat="false" ht="15" hidden="false" customHeight="true" outlineLevel="0" collapsed="false">
      <c r="A3" s="4" t="s">
        <v>38</v>
      </c>
      <c r="B3" s="4" t="s">
        <v>39</v>
      </c>
    </row>
    <row r="4" customFormat="false" ht="15" hidden="false" customHeight="true" outlineLevel="0" collapsed="false">
      <c r="A4" s="4" t="s">
        <v>40</v>
      </c>
      <c r="B4" s="4" t="s">
        <v>37</v>
      </c>
    </row>
    <row r="5" customFormat="false" ht="15" hidden="false" customHeight="true" outlineLevel="0" collapsed="false">
      <c r="A5" s="4" t="s">
        <v>41</v>
      </c>
      <c r="B5" s="4" t="s">
        <v>37</v>
      </c>
    </row>
    <row r="6" customFormat="false" ht="15" hidden="false" customHeight="true" outlineLevel="0" collapsed="false">
      <c r="A6" s="4" t="s">
        <v>42</v>
      </c>
      <c r="B6" s="4" t="s">
        <v>43</v>
      </c>
    </row>
    <row r="7" customFormat="false" ht="15" hidden="false" customHeight="true" outlineLevel="0" collapsed="false">
      <c r="A7" s="4" t="s">
        <v>44</v>
      </c>
      <c r="B7" s="4" t="s">
        <v>43</v>
      </c>
    </row>
    <row r="8" customFormat="false" ht="15" hidden="false" customHeight="true" outlineLevel="0" collapsed="false">
      <c r="A8" s="4" t="s">
        <v>45</v>
      </c>
      <c r="B8" s="4" t="s">
        <v>46</v>
      </c>
    </row>
    <row r="9" customFormat="false" ht="15" hidden="false" customHeight="true" outlineLevel="0" collapsed="false">
      <c r="A9" s="4" t="s">
        <v>47</v>
      </c>
      <c r="B9" s="4" t="s">
        <v>46</v>
      </c>
    </row>
    <row r="10" customFormat="false" ht="15" hidden="false" customHeight="true" outlineLevel="0" collapsed="false">
      <c r="A10" s="4" t="s">
        <v>48</v>
      </c>
      <c r="B10" s="4" t="s">
        <v>39</v>
      </c>
    </row>
    <row r="11" customFormat="false" ht="15" hidden="false" customHeight="true" outlineLevel="0" collapsed="false">
      <c r="A11" s="4" t="s">
        <v>49</v>
      </c>
      <c r="B11" s="4" t="s">
        <v>39</v>
      </c>
    </row>
    <row r="12" customFormat="false" ht="15" hidden="false" customHeight="true" outlineLevel="0" collapsed="false">
      <c r="A12" s="4" t="s">
        <v>50</v>
      </c>
      <c r="B12" s="4" t="s">
        <v>37</v>
      </c>
    </row>
    <row r="13" customFormat="false" ht="15" hidden="false" customHeight="true" outlineLevel="0" collapsed="false">
      <c r="A13" s="4" t="s">
        <v>51</v>
      </c>
      <c r="B13" s="4" t="s">
        <v>43</v>
      </c>
    </row>
    <row r="15" customFormat="false" ht="15" hidden="false" customHeight="true" outlineLevel="0" collapsed="false">
      <c r="A15" s="19" t="s">
        <v>52</v>
      </c>
      <c r="B15" s="19"/>
    </row>
  </sheetData>
  <mergeCells count="1"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2026-06-15T19:28:22Z</dcterms:created>
  <dc:creator>openpyxl</dc:creator>
  <dc:description/>
  <dc:language>en-US</dc:language>
  <cp:lastModifiedBy/>
  <dcterms:modified xsi:type="dcterms:W3CDTF">2026-06-15T19:28:46Z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